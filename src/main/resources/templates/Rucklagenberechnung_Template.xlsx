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400" yWindow="720" windowWidth="30080" windowHeight="10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9"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164" fontId="2" fillId="0" borderId="0" pivotButton="0" quotePrefix="0" xfId="0"/>
    <xf numFmtId="164" fontId="2" fillId="0" borderId="0" pivotButton="0" quotePrefix="0" xfId="1"/>
    <xf numFmtId="164" fontId="2" fillId="0" borderId="0" pivotButton="0" quotePrefix="0" xfId="0"/>
    <xf numFmtId="164" fontId="0" fillId="0" borderId="0" pivotButton="0" quotePrefix="0" xfId="1"/>
    <xf numFmtId="164" fontId="2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G8" sqref="G8"/>
    </sheetView>
  </sheetViews>
  <sheetFormatPr baseColWidth="10" defaultRowHeight="16"/>
  <cols>
    <col width="24.6640625" bestFit="1" customWidth="1" min="1" max="1"/>
    <col width="12" bestFit="1" customWidth="1" min="2" max="3"/>
  </cols>
  <sheetData>
    <row r="1">
      <c r="A1" t="inlineStr">
        <is>
          <t>freie Rücklagen</t>
        </is>
      </c>
      <c r="C1" s="5">
        <f>SUM(C2:C5)</f>
        <v/>
      </c>
    </row>
    <row r="2">
      <c r="A2" t="inlineStr">
        <is>
          <t>Ideeler Bereich</t>
        </is>
      </c>
      <c r="B2" s="6" t="n">
        <v>10000</v>
      </c>
      <c r="C2" s="6">
        <f>B2*0.1</f>
        <v/>
      </c>
    </row>
    <row r="3">
      <c r="A3" t="inlineStr">
        <is>
          <t>Vermögensverwaltung</t>
        </is>
      </c>
      <c r="B3" s="6" t="n">
        <v>500</v>
      </c>
      <c r="C3" s="6">
        <f>B3/3</f>
        <v/>
      </c>
    </row>
    <row r="4">
      <c r="A4" t="inlineStr">
        <is>
          <t>Zweckbetrieb</t>
        </is>
      </c>
      <c r="B4" s="6" t="n">
        <v>150</v>
      </c>
      <c r="C4" s="6">
        <f>B4*0.1</f>
        <v/>
      </c>
    </row>
    <row r="5">
      <c r="A5" t="inlineStr">
        <is>
          <t>wirtschaftlicher Bereich</t>
        </is>
      </c>
      <c r="B5" s="6" t="n">
        <v>2500</v>
      </c>
      <c r="C5" s="6">
        <f>B5*0.1</f>
        <v/>
      </c>
    </row>
    <row r="7">
      <c r="A7" t="inlineStr">
        <is>
          <t>Betriebsmittelrücklagen</t>
        </is>
      </c>
      <c r="B7" s="7">
        <f>1000+500+250+1250</f>
        <v/>
      </c>
    </row>
    <row r="8">
      <c r="A8" t="inlineStr">
        <is>
          <t>Rücklage Wiederbeschaffung</t>
        </is>
      </c>
      <c r="B8" s="7">
        <f>1500.00</f>
        <v/>
      </c>
    </row>
    <row r="9">
      <c r="A9" t="inlineStr">
        <is>
          <t>Projektbezogene Rücklagen</t>
        </is>
      </c>
      <c r="B9" s="6" t="n"/>
      <c r="C9" s="7">
        <f>SUM(B10:B13)</f>
        <v/>
      </c>
    </row>
    <row r="10">
      <c r="A10" t="inlineStr">
        <is>
          <t>Gemeinnuetziges Projekt A</t>
        </is>
      </c>
      <c r="B10" s="6" t="n">
        <v>5000</v>
      </c>
      <c r="C10" s="6" t="n"/>
    </row>
    <row r="11">
      <c r="A11" t="inlineStr">
        <is>
          <t>Gemeinnuetziges Projekt B</t>
        </is>
      </c>
      <c r="B11" s="6" t="n">
        <v>2000</v>
      </c>
      <c r="C11" s="6" t="n"/>
    </row>
    <row r="12">
      <c r="A12" t="inlineStr">
        <is>
          <t>Gemeinnuetziges Projekt C</t>
        </is>
      </c>
      <c r="B12" s="6" t="n">
        <v>3000</v>
      </c>
      <c r="C12" s="6" t="n"/>
    </row>
    <row r="13">
      <c r="B13" s="6" t="n"/>
      <c r="C13" s="6" t="n"/>
    </row>
    <row r="16">
      <c r="C16" s="8">
        <f>SUM(B7:B8)+C9+C1</f>
        <v/>
      </c>
    </row>
    <row r="17">
      <c r="C17" s="6">
        <f>SUM(B7:B8)+C9+C1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Strawder</dc:creator>
  <dcterms:created xmlns:dcterms="http://purl.org/dc/terms/" xmlns:xsi="http://www.w3.org/2001/XMLSchema-instance" xsi:type="dcterms:W3CDTF">2024-08-29T19:13:29Z</dcterms:created>
  <dcterms:modified xmlns:dcterms="http://purl.org/dc/terms/" xmlns:xsi="http://www.w3.org/2001/XMLSchema-instance" xsi:type="dcterms:W3CDTF">2026-07-22T07:27:43Z</dcterms:modified>
  <cp:lastModifiedBy>Paul Strawder</cp:lastModifiedBy>
</cp:coreProperties>
</file>